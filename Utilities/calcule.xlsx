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o\Documents\"/>
    </mc:Choice>
  </mc:AlternateContent>
  <xr:revisionPtr revIDLastSave="0" documentId="8_{1529E854-9A9B-46F3-B31A-9E44063C451B}" xr6:coauthVersionLast="47" xr6:coauthVersionMax="47" xr10:uidLastSave="{00000000-0000-0000-0000-000000000000}"/>
  <bookViews>
    <workbookView xWindow="-120" yWindow="-120" windowWidth="29040" windowHeight="15720" xr2:uid="{F62BF15F-CFC1-4998-96FD-1AE5B823C7CF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/>
  <c r="B8" i="2"/>
  <c r="B7" i="2"/>
  <c r="E6" i="1"/>
  <c r="E18" i="1"/>
  <c r="E15" i="1"/>
  <c r="E16" i="1" s="1"/>
  <c r="B18" i="1"/>
  <c r="B17" i="1"/>
  <c r="B15" i="1"/>
  <c r="B16" i="1" s="1"/>
  <c r="E12" i="1"/>
  <c r="E9" i="1"/>
  <c r="E10" i="1" s="1"/>
  <c r="B11" i="1"/>
  <c r="B12" i="1" s="1"/>
  <c r="B9" i="1"/>
  <c r="B10" i="1" s="1"/>
  <c r="E3" i="1"/>
  <c r="E4" i="1" s="1"/>
  <c r="B4" i="1"/>
  <c r="B6" i="1"/>
  <c r="B5" i="1"/>
  <c r="B3" i="1"/>
</calcChain>
</file>

<file path=xl/sharedStrings.xml><?xml version="1.0" encoding="utf-8"?>
<sst xmlns="http://schemas.openxmlformats.org/spreadsheetml/2006/main" count="8" uniqueCount="8">
  <si>
    <t>rezistenta shunt</t>
  </si>
  <si>
    <t>factor amplificare</t>
  </si>
  <si>
    <t>unitati adc</t>
  </si>
  <si>
    <t>referinta adc</t>
  </si>
  <si>
    <t>maxim unitati adc</t>
  </si>
  <si>
    <t>tensiune shunt amplificata</t>
  </si>
  <si>
    <t>tensiune shunt efectiva</t>
  </si>
  <si>
    <t>curent shunt efectiv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</si>
</sst>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5B8F0-949A-4BBC-AC59-D58AE9B8F6DE}">
  <dimension ref="B2:F18"/>
  <sheetViews>
    <sheetView tabSelected="1" workbookViewId="0">
      <selection activeCell="G6" sqref="G6"/>
    </sheetView>
  </sheetViews>
  <sheetFormatPr defaultRowHeight="15" x14ac:dyDescent="0.25"/>
  <sheetData>
    <row r="2" spans="2:6" x14ac:dyDescent="0.25">
      <c r="B2">
        <v>3.3</v>
      </c>
      <c r="C2">
        <v>4095</v>
      </c>
      <c r="E2">
        <v>3.3</v>
      </c>
      <c r="F2">
        <v>4095</v>
      </c>
    </row>
    <row r="3" spans="2:6" x14ac:dyDescent="0.25">
      <c r="B3">
        <f>B2*C3/C2</f>
        <v>0.4222710622710622</v>
      </c>
      <c r="C3">
        <v>524</v>
      </c>
      <c r="E3">
        <f>E2*F3/F2</f>
        <v>0.4222710622710622</v>
      </c>
      <c r="F3">
        <v>524</v>
      </c>
    </row>
    <row r="4" spans="2:6" x14ac:dyDescent="0.25">
      <c r="B4">
        <f>B3*19</f>
        <v>8.0231501831501824</v>
      </c>
      <c r="E4">
        <f>E3*19</f>
        <v>8.0231501831501824</v>
      </c>
    </row>
    <row r="5" spans="2:6" x14ac:dyDescent="0.25">
      <c r="B5">
        <f>B2*19/C2</f>
        <v>1.531135531135531E-2</v>
      </c>
      <c r="E5">
        <v>1.52E-2</v>
      </c>
    </row>
    <row r="6" spans="2:6" x14ac:dyDescent="0.25">
      <c r="B6">
        <f>B5*C3</f>
        <v>8.0231501831501824</v>
      </c>
      <c r="E6">
        <f>E5*F3</f>
        <v>7.9648000000000003</v>
      </c>
    </row>
    <row r="8" spans="2:6" x14ac:dyDescent="0.25">
      <c r="B8">
        <v>3.3</v>
      </c>
      <c r="C8">
        <v>4095</v>
      </c>
      <c r="E8">
        <v>3.3</v>
      </c>
      <c r="F8">
        <v>4095</v>
      </c>
    </row>
    <row r="9" spans="2:6" x14ac:dyDescent="0.25">
      <c r="B9">
        <f>B8*C9/C8</f>
        <v>0.47626373626373625</v>
      </c>
      <c r="C9">
        <v>591</v>
      </c>
      <c r="E9">
        <f>E8*F9/F8</f>
        <v>0.47626373626373625</v>
      </c>
      <c r="F9">
        <v>591</v>
      </c>
    </row>
    <row r="10" spans="2:6" x14ac:dyDescent="0.25">
      <c r="B10">
        <f>B9*19</f>
        <v>9.0490109890109895</v>
      </c>
      <c r="E10">
        <f>E9*19</f>
        <v>9.0490109890109895</v>
      </c>
    </row>
    <row r="11" spans="2:6" x14ac:dyDescent="0.25">
      <c r="B11">
        <f>B8*19/C8</f>
        <v>1.531135531135531E-2</v>
      </c>
      <c r="E11">
        <v>1.52E-2</v>
      </c>
    </row>
    <row r="12" spans="2:6" x14ac:dyDescent="0.25">
      <c r="B12">
        <f>B11*C9</f>
        <v>9.0490109890109878</v>
      </c>
      <c r="E12">
        <f>E11*F9</f>
        <v>8.9832000000000001</v>
      </c>
    </row>
    <row r="14" spans="2:6" x14ac:dyDescent="0.25">
      <c r="B14">
        <v>3.3</v>
      </c>
      <c r="C14">
        <v>4095</v>
      </c>
      <c r="E14">
        <v>3.3</v>
      </c>
      <c r="F14">
        <v>4095</v>
      </c>
    </row>
    <row r="15" spans="2:6" x14ac:dyDescent="0.25">
      <c r="B15">
        <f>B14*C15/C14</f>
        <v>0.63260073260073257</v>
      </c>
      <c r="C15">
        <v>785</v>
      </c>
      <c r="E15">
        <f>E14*F15/F14</f>
        <v>0.63260073260073257</v>
      </c>
      <c r="F15">
        <v>785</v>
      </c>
    </row>
    <row r="16" spans="2:6" x14ac:dyDescent="0.25">
      <c r="B16">
        <f>B15*19</f>
        <v>12.019413919413919</v>
      </c>
      <c r="E16">
        <f>E15*19</f>
        <v>12.019413919413919</v>
      </c>
    </row>
    <row r="17" spans="2:5" x14ac:dyDescent="0.25">
      <c r="B17">
        <f>B14*19/C14</f>
        <v>1.531135531135531E-2</v>
      </c>
      <c r="E17">
        <v>1.52E-2</v>
      </c>
    </row>
    <row r="18" spans="2:5" x14ac:dyDescent="0.25">
      <c r="B18">
        <f>B17*C15</f>
        <v>12.019413919413918</v>
      </c>
      <c r="E18">
        <f>E17*F15</f>
        <v>11.932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2A6E-8B79-423E-820B-C5451F56AE38}">
  <dimension ref="A2:B9"/>
  <sheetViews>
    <sheetView workbookViewId="0">
      <selection activeCell="C9" sqref="C9"/>
    </sheetView>
  </sheetViews>
  <sheetFormatPr defaultRowHeight="15" x14ac:dyDescent="0.25"/>
  <cols>
    <col min="1" max="1" width="25" bestFit="1" customWidth="1"/>
  </cols>
  <sheetData>
    <row r="2" spans="1:2" x14ac:dyDescent="0.25">
      <c r="A2" t="s">
        <v>0</v>
      </c>
      <c r="B2">
        <v>5.0000000000000001E-4</v>
      </c>
    </row>
    <row r="3" spans="1:2" x14ac:dyDescent="0.25">
      <c r="A3" t="s">
        <v>1</v>
      </c>
      <c r="B3">
        <v>80</v>
      </c>
    </row>
    <row r="4" spans="1:2" x14ac:dyDescent="0.25">
      <c r="A4" t="s">
        <v>2</v>
      </c>
      <c r="B4">
        <v>610</v>
      </c>
    </row>
    <row r="5" spans="1:2" x14ac:dyDescent="0.25">
      <c r="A5" t="s">
        <v>3</v>
      </c>
      <c r="B5">
        <v>3.3</v>
      </c>
    </row>
    <row r="6" spans="1:2" x14ac:dyDescent="0.25">
      <c r="A6" t="s">
        <v>4</v>
      </c>
      <c r="B6">
        <v>4095</v>
      </c>
    </row>
    <row r="7" spans="1:2" x14ac:dyDescent="0.25">
      <c r="A7" t="s">
        <v>5</v>
      </c>
      <c r="B7">
        <f>B4*B5/B6</f>
        <v>0.49157509157509155</v>
      </c>
    </row>
    <row r="8" spans="1:2" x14ac:dyDescent="0.25">
      <c r="A8" t="s">
        <v>6</v>
      </c>
      <c r="B8">
        <f>B7/B3</f>
        <v>6.1446886446886442E-3</v>
      </c>
    </row>
    <row r="9" spans="1:2" x14ac:dyDescent="0.25">
      <c r="A9" t="s">
        <v>7</v>
      </c>
      <c r="B9">
        <f>B8/B2</f>
        <v>12.289377289377288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Marco-Ionuț Gălățanu</dc:creator>
  <cp:lastModifiedBy>Marco-Ionuț Gălățanu</cp:lastModifiedBy>
  <dcterms:created xsi:type="dcterms:W3CDTF">2025-06-20T16:20:35Z</dcterms:created>
  <dcterms:modified xsi:type="dcterms:W3CDTF">2025-06-20T17:28:01Z</dcterms:modified>
</cp:coreProperties>
</file>