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co\Documents\GitHub\Licenta\Utilities\"/>
    </mc:Choice>
  </mc:AlternateContent>
  <xr:revisionPtr revIDLastSave="0" documentId="13_ncr:1_{DB4024CB-9D9F-4D45-BA5F-7CACC16EBEBD}" xr6:coauthVersionLast="47" xr6:coauthVersionMax="47" xr10:uidLastSave="{00000000-0000-0000-0000-000000000000}"/>
  <bookViews>
    <workbookView xWindow="1860" yWindow="1755" windowWidth="18180" windowHeight="11295" activeTab="1" xr2:uid="{F62BF15F-CFC1-4998-96FD-1AE5B823C7CF}"/>
  </bookViews>
  <sheets>
    <sheet name="Sheet1" sheetId="1" r:id="rId1"/>
    <sheet name="Sheet2" sheetId="2" r:id="rId2"/>
    <sheet name="Sheet3" sheetId="3" r:id="rId3"/>
    <sheet name="Saturatie senzor curent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1" i="2" l="1"/>
  <c r="D10" i="2"/>
  <c r="B10" i="2"/>
  <c r="H9" i="3"/>
  <c r="B9" i="3"/>
  <c r="C9" i="3"/>
  <c r="E9" i="3"/>
  <c r="D9" i="3"/>
  <c r="F9" i="3"/>
  <c r="G9" i="3"/>
  <c r="D10" i="4"/>
  <c r="D9" i="4"/>
  <c r="B8" i="3"/>
  <c r="B13" i="3"/>
  <c r="B15" i="3" s="1"/>
  <c r="D15" i="3" s="1"/>
  <c r="F15" i="3" s="1"/>
  <c r="G15" i="3" s="1"/>
  <c r="C13" i="3"/>
  <c r="C12" i="3"/>
  <c r="B14" i="3"/>
  <c r="C14" i="3" s="1"/>
  <c r="B7" i="2"/>
  <c r="B8" i="2" s="1"/>
  <c r="B9" i="2" s="1"/>
  <c r="D9" i="2" s="1"/>
  <c r="E6" i="1"/>
  <c r="E18" i="1"/>
  <c r="E15" i="1"/>
  <c r="E16" i="1" s="1"/>
  <c r="B18" i="1"/>
  <c r="B17" i="1"/>
  <c r="B15" i="1"/>
  <c r="B16" i="1" s="1"/>
  <c r="E12" i="1"/>
  <c r="E9" i="1"/>
  <c r="E10" i="1" s="1"/>
  <c r="B11" i="1"/>
  <c r="B12" i="1" s="1"/>
  <c r="B9" i="1"/>
  <c r="B10" i="1" s="1"/>
  <c r="E3" i="1"/>
  <c r="E4" i="1" s="1"/>
  <c r="B4" i="1"/>
  <c r="B6" i="1"/>
  <c r="B5" i="1"/>
  <c r="B3" i="1"/>
</calcChain>
</file>

<file path=xl/sharedStrings.xml><?xml version="1.0" encoding="utf-8"?>
<sst xmlns="http://schemas.openxmlformats.org/spreadsheetml/2006/main" count="34" uniqueCount="26">
  <si>
    <t>rezistenta shunt</t>
  </si>
  <si>
    <t>factor amplificare</t>
  </si>
  <si>
    <t>unitati adc</t>
  </si>
  <si>
    <t>referinta adc</t>
  </si>
  <si>
    <t>maxim unitati adc</t>
  </si>
  <si>
    <t>Valoare osciloscop</t>
  </si>
  <si>
    <t>Valoare ADC</t>
  </si>
  <si>
    <t>Sursa</t>
  </si>
  <si>
    <t>Curent</t>
  </si>
  <si>
    <t>Duty cycle B</t>
  </si>
  <si>
    <t>Duty cycle A</t>
  </si>
  <si>
    <t>Duty cycle C</t>
  </si>
  <si>
    <t>Tensiune</t>
  </si>
  <si>
    <t>24V</t>
  </si>
  <si>
    <t>tensiune șunt amplificata</t>
  </si>
  <si>
    <t>tensiune șunt originală</t>
  </si>
  <si>
    <t>curent șunt</t>
  </si>
  <si>
    <t>Factor amplificare</t>
  </si>
  <si>
    <t>Ia</t>
  </si>
  <si>
    <t>Ib</t>
  </si>
  <si>
    <t>Ic</t>
  </si>
  <si>
    <t>B</t>
  </si>
  <si>
    <t>A</t>
  </si>
  <si>
    <t>C</t>
  </si>
  <si>
    <t>abaterea</t>
  </si>
  <si>
    <t>u=ir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</si>
</sst>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D5B8F0-949A-4BBC-AC59-D58AE9B8F6DE}">
  <dimension ref="B2:F18"/>
  <sheetViews>
    <sheetView workbookViewId="0">
      <selection activeCell="G6" sqref="G6"/>
    </sheetView>
  </sheetViews>
  <sheetFormatPr defaultRowHeight="15" x14ac:dyDescent="0.25"/>
  <sheetData>
    <row r="2" spans="2:6" x14ac:dyDescent="0.25">
      <c r="B2">
        <v>3.3</v>
      </c>
      <c r="C2">
        <v>4095</v>
      </c>
      <c r="E2">
        <v>3.3</v>
      </c>
      <c r="F2">
        <v>4095</v>
      </c>
    </row>
    <row r="3" spans="2:6" x14ac:dyDescent="0.25">
      <c r="B3">
        <f>B2*C3/C2</f>
        <v>0.4222710622710622</v>
      </c>
      <c r="C3">
        <v>524</v>
      </c>
      <c r="E3">
        <f>E2*F3/F2</f>
        <v>0.4222710622710622</v>
      </c>
      <c r="F3">
        <v>524</v>
      </c>
    </row>
    <row r="4" spans="2:6" x14ac:dyDescent="0.25">
      <c r="B4">
        <f>B3*19</f>
        <v>8.0231501831501824</v>
      </c>
      <c r="E4">
        <f>E3*19</f>
        <v>8.0231501831501824</v>
      </c>
    </row>
    <row r="5" spans="2:6" x14ac:dyDescent="0.25">
      <c r="B5">
        <f>B2*19/C2</f>
        <v>1.531135531135531E-2</v>
      </c>
      <c r="E5">
        <v>1.52E-2</v>
      </c>
    </row>
    <row r="6" spans="2:6" x14ac:dyDescent="0.25">
      <c r="B6">
        <f>B5*C3</f>
        <v>8.0231501831501824</v>
      </c>
      <c r="E6">
        <f>E5*F3</f>
        <v>7.9648000000000003</v>
      </c>
    </row>
    <row r="8" spans="2:6" x14ac:dyDescent="0.25">
      <c r="B8">
        <v>3.3</v>
      </c>
      <c r="C8">
        <v>4095</v>
      </c>
      <c r="E8">
        <v>3.3</v>
      </c>
      <c r="F8">
        <v>4095</v>
      </c>
    </row>
    <row r="9" spans="2:6" x14ac:dyDescent="0.25">
      <c r="B9">
        <f>B8*C9/C8</f>
        <v>0.47626373626373625</v>
      </c>
      <c r="C9">
        <v>591</v>
      </c>
      <c r="E9">
        <f>E8*F9/F8</f>
        <v>0.47626373626373625</v>
      </c>
      <c r="F9">
        <v>591</v>
      </c>
    </row>
    <row r="10" spans="2:6" x14ac:dyDescent="0.25">
      <c r="B10">
        <f>B9*19</f>
        <v>9.0490109890109895</v>
      </c>
      <c r="E10">
        <f>E9*19</f>
        <v>9.0490109890109895</v>
      </c>
    </row>
    <row r="11" spans="2:6" x14ac:dyDescent="0.25">
      <c r="B11">
        <f>B8*19/C8</f>
        <v>1.531135531135531E-2</v>
      </c>
      <c r="E11">
        <v>1.52E-2</v>
      </c>
    </row>
    <row r="12" spans="2:6" x14ac:dyDescent="0.25">
      <c r="B12">
        <f>B11*C9</f>
        <v>9.0490109890109878</v>
      </c>
      <c r="E12">
        <f>E11*F9</f>
        <v>8.9832000000000001</v>
      </c>
    </row>
    <row r="14" spans="2:6" x14ac:dyDescent="0.25">
      <c r="B14">
        <v>3.3</v>
      </c>
      <c r="C14">
        <v>4095</v>
      </c>
      <c r="E14">
        <v>3.3</v>
      </c>
      <c r="F14">
        <v>4095</v>
      </c>
    </row>
    <row r="15" spans="2:6" x14ac:dyDescent="0.25">
      <c r="B15">
        <f>B14*C15/C14</f>
        <v>0.63260073260073257</v>
      </c>
      <c r="C15">
        <v>785</v>
      </c>
      <c r="E15">
        <f>E14*F15/F14</f>
        <v>0.63260073260073257</v>
      </c>
      <c r="F15">
        <v>785</v>
      </c>
    </row>
    <row r="16" spans="2:6" x14ac:dyDescent="0.25">
      <c r="B16">
        <f>B15*19</f>
        <v>12.019413919413919</v>
      </c>
      <c r="E16">
        <f>E15*19</f>
        <v>12.019413919413919</v>
      </c>
    </row>
    <row r="17" spans="2:5" x14ac:dyDescent="0.25">
      <c r="B17">
        <f>B14*19/C14</f>
        <v>1.531135531135531E-2</v>
      </c>
      <c r="E17">
        <v>1.52E-2</v>
      </c>
    </row>
    <row r="18" spans="2:5" x14ac:dyDescent="0.25">
      <c r="B18">
        <f>B17*C15</f>
        <v>12.019413919413918</v>
      </c>
      <c r="E18">
        <f>E17*F15</f>
        <v>11.932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F02A6E-8B79-423E-820B-C5451F56AE38}">
  <dimension ref="A2:F11"/>
  <sheetViews>
    <sheetView tabSelected="1" workbookViewId="0">
      <selection activeCell="H15" sqref="H15"/>
    </sheetView>
  </sheetViews>
  <sheetFormatPr defaultRowHeight="15" x14ac:dyDescent="0.25"/>
  <cols>
    <col min="1" max="1" width="25" bestFit="1" customWidth="1"/>
  </cols>
  <sheetData>
    <row r="2" spans="1:6" x14ac:dyDescent="0.25">
      <c r="A2" t="s">
        <v>0</v>
      </c>
      <c r="B2">
        <v>5.0000000000000001E-4</v>
      </c>
    </row>
    <row r="3" spans="1:6" x14ac:dyDescent="0.25">
      <c r="A3" t="s">
        <v>1</v>
      </c>
      <c r="B3">
        <v>80</v>
      </c>
    </row>
    <row r="4" spans="1:6" x14ac:dyDescent="0.25">
      <c r="A4" t="s">
        <v>2</v>
      </c>
      <c r="B4">
        <v>500</v>
      </c>
    </row>
    <row r="5" spans="1:6" x14ac:dyDescent="0.25">
      <c r="A5" t="s">
        <v>3</v>
      </c>
      <c r="B5">
        <v>3</v>
      </c>
    </row>
    <row r="6" spans="1:6" x14ac:dyDescent="0.25">
      <c r="A6" t="s">
        <v>4</v>
      </c>
      <c r="B6">
        <v>4095</v>
      </c>
    </row>
    <row r="7" spans="1:6" x14ac:dyDescent="0.25">
      <c r="A7" t="s">
        <v>14</v>
      </c>
      <c r="B7">
        <f>B4*B5/B6</f>
        <v>0.36630036630036628</v>
      </c>
      <c r="F7" t="s">
        <v>25</v>
      </c>
    </row>
    <row r="8" spans="1:6" x14ac:dyDescent="0.25">
      <c r="A8" t="s">
        <v>15</v>
      </c>
      <c r="B8">
        <f>B7/B3</f>
        <v>4.5787545787545781E-3</v>
      </c>
    </row>
    <row r="9" spans="1:6" x14ac:dyDescent="0.25">
      <c r="A9" t="s">
        <v>16</v>
      </c>
      <c r="B9">
        <f>B8/B2</f>
        <v>9.1575091575091552</v>
      </c>
      <c r="C9">
        <v>2.7359999999999998</v>
      </c>
      <c r="D9">
        <f>C9*B9</f>
        <v>25.054945054945048</v>
      </c>
    </row>
    <row r="10" spans="1:6" x14ac:dyDescent="0.25">
      <c r="B10">
        <f>B9/B4</f>
        <v>1.8315018315018309E-2</v>
      </c>
      <c r="C10">
        <v>1.6500000000000001E-2</v>
      </c>
      <c r="D10">
        <f>B10-C10</f>
        <v>1.8150183150183082E-3</v>
      </c>
    </row>
    <row r="11" spans="1:6" x14ac:dyDescent="0.25">
      <c r="D11">
        <f>D10/B10</f>
        <v>9.9099999999999661E-2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190CC9-FDAB-4116-BDE6-C0992EBEA208}">
  <dimension ref="A2:H15"/>
  <sheetViews>
    <sheetView workbookViewId="0">
      <selection activeCell="C13" sqref="C13"/>
    </sheetView>
  </sheetViews>
  <sheetFormatPr defaultRowHeight="15" x14ac:dyDescent="0.25"/>
  <cols>
    <col min="1" max="1" width="18.28515625" bestFit="1" customWidth="1"/>
    <col min="6" max="6" width="11.28515625" bestFit="1" customWidth="1"/>
  </cols>
  <sheetData>
    <row r="2" spans="1:8" x14ac:dyDescent="0.25">
      <c r="A2" t="s">
        <v>12</v>
      </c>
      <c r="B2" t="s">
        <v>13</v>
      </c>
    </row>
    <row r="3" spans="1:8" x14ac:dyDescent="0.25">
      <c r="A3" t="s">
        <v>3</v>
      </c>
      <c r="B3">
        <v>3.3</v>
      </c>
    </row>
    <row r="4" spans="1:8" x14ac:dyDescent="0.25">
      <c r="A4" t="s">
        <v>4</v>
      </c>
      <c r="B4">
        <v>4095</v>
      </c>
    </row>
    <row r="5" spans="1:8" x14ac:dyDescent="0.25">
      <c r="A5" t="s">
        <v>5</v>
      </c>
      <c r="B5">
        <v>1.47</v>
      </c>
      <c r="C5">
        <v>1.95</v>
      </c>
      <c r="D5">
        <v>3.1</v>
      </c>
      <c r="E5">
        <v>3.71</v>
      </c>
      <c r="F5">
        <v>4.3499999999999996</v>
      </c>
      <c r="G5">
        <v>5.4</v>
      </c>
    </row>
    <row r="6" spans="1:8" x14ac:dyDescent="0.25">
      <c r="A6" t="s">
        <v>6</v>
      </c>
      <c r="B6">
        <v>89</v>
      </c>
      <c r="C6">
        <v>130</v>
      </c>
      <c r="D6">
        <v>175</v>
      </c>
      <c r="E6">
        <v>225</v>
      </c>
      <c r="F6">
        <v>267</v>
      </c>
      <c r="G6">
        <v>313</v>
      </c>
    </row>
    <row r="7" spans="1:8" x14ac:dyDescent="0.25">
      <c r="A7" t="s">
        <v>7</v>
      </c>
      <c r="B7">
        <v>0.44</v>
      </c>
    </row>
    <row r="8" spans="1:8" x14ac:dyDescent="0.25">
      <c r="A8" t="s">
        <v>8</v>
      </c>
      <c r="B8">
        <f>B3/B4</f>
        <v>8.0586080586080586E-4</v>
      </c>
    </row>
    <row r="9" spans="1:8" x14ac:dyDescent="0.25">
      <c r="A9" t="s">
        <v>17</v>
      </c>
      <c r="B9">
        <f>B5/B6</f>
        <v>1.6516853932584268E-2</v>
      </c>
      <c r="C9">
        <f>C5/C6</f>
        <v>1.4999999999999999E-2</v>
      </c>
      <c r="D9">
        <f>D5/D6</f>
        <v>1.7714285714285714E-2</v>
      </c>
      <c r="E9">
        <f>E5/E6</f>
        <v>1.648888888888889E-2</v>
      </c>
      <c r="F9">
        <f t="shared" ref="D9:G9" si="0">F5/F6</f>
        <v>1.6292134831460674E-2</v>
      </c>
      <c r="G9">
        <f t="shared" si="0"/>
        <v>1.7252396166134186E-2</v>
      </c>
      <c r="H9">
        <f>AVERAGE(B9:G9)</f>
        <v>1.6544093255558955E-2</v>
      </c>
    </row>
    <row r="12" spans="1:8" x14ac:dyDescent="0.25">
      <c r="A12" t="s">
        <v>9</v>
      </c>
      <c r="B12">
        <v>7.6</v>
      </c>
      <c r="C12">
        <f>50+B12</f>
        <v>57.6</v>
      </c>
    </row>
    <row r="13" spans="1:8" x14ac:dyDescent="0.25">
      <c r="A13" t="s">
        <v>10</v>
      </c>
      <c r="B13">
        <f>B12/2</f>
        <v>3.8</v>
      </c>
      <c r="C13">
        <f>50-B13</f>
        <v>46.2</v>
      </c>
    </row>
    <row r="14" spans="1:8" x14ac:dyDescent="0.25">
      <c r="A14" t="s">
        <v>11</v>
      </c>
      <c r="B14">
        <f>B12/2</f>
        <v>3.8</v>
      </c>
      <c r="C14">
        <f>50-B14</f>
        <v>46.2</v>
      </c>
    </row>
    <row r="15" spans="1:8" x14ac:dyDescent="0.25">
      <c r="B15">
        <f>B12+B13</f>
        <v>11.399999999999999</v>
      </c>
      <c r="C15">
        <v>24</v>
      </c>
      <c r="D15">
        <f>B15*C15/100</f>
        <v>2.7359999999999998</v>
      </c>
      <c r="E15">
        <v>7.13</v>
      </c>
      <c r="F15">
        <f>E15*D15</f>
        <v>19.507679999999997</v>
      </c>
      <c r="G15">
        <f>F15*107/100</f>
        <v>20.873217599999997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D61257-B7C9-4F84-AC0E-362CD6DA38E8}">
  <dimension ref="A2:D14"/>
  <sheetViews>
    <sheetView workbookViewId="0">
      <selection activeCell="D9" sqref="D9"/>
    </sheetView>
  </sheetViews>
  <sheetFormatPr defaultRowHeight="15" x14ac:dyDescent="0.25"/>
  <sheetData>
    <row r="2" spans="1:4" x14ac:dyDescent="0.25">
      <c r="B2" t="s">
        <v>18</v>
      </c>
    </row>
    <row r="3" spans="1:4" x14ac:dyDescent="0.25">
      <c r="A3" t="s">
        <v>22</v>
      </c>
      <c r="B3" t="s">
        <v>19</v>
      </c>
    </row>
    <row r="4" spans="1:4" x14ac:dyDescent="0.25">
      <c r="B4" t="s">
        <v>20</v>
      </c>
    </row>
    <row r="7" spans="1:4" x14ac:dyDescent="0.25">
      <c r="B7" t="s">
        <v>18</v>
      </c>
      <c r="C7">
        <v>2.8</v>
      </c>
      <c r="D7">
        <v>2.7970000000000002</v>
      </c>
    </row>
    <row r="8" spans="1:4" x14ac:dyDescent="0.25">
      <c r="A8" t="s">
        <v>21</v>
      </c>
      <c r="B8" t="s">
        <v>19</v>
      </c>
      <c r="C8">
        <v>5.4</v>
      </c>
      <c r="D8">
        <v>5.3819999999999997</v>
      </c>
    </row>
    <row r="9" spans="1:4" x14ac:dyDescent="0.25">
      <c r="B9" t="s">
        <v>20</v>
      </c>
      <c r="C9">
        <v>2.8</v>
      </c>
      <c r="D9">
        <f>D8/2</f>
        <v>2.6909999999999998</v>
      </c>
    </row>
    <row r="10" spans="1:4" x14ac:dyDescent="0.25">
      <c r="A10" t="s">
        <v>24</v>
      </c>
      <c r="D10">
        <f>D8-2*D7</f>
        <v>-0.21200000000000063</v>
      </c>
    </row>
    <row r="12" spans="1:4" x14ac:dyDescent="0.25">
      <c r="B12" t="s">
        <v>18</v>
      </c>
    </row>
    <row r="13" spans="1:4" x14ac:dyDescent="0.25">
      <c r="A13" t="s">
        <v>23</v>
      </c>
      <c r="B13" t="s">
        <v>19</v>
      </c>
    </row>
    <row r="14" spans="1:4" x14ac:dyDescent="0.25">
      <c r="B14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Saturatie senzor curent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Marco-Ionuț Gălățanu</dc:creator>
  <cp:lastModifiedBy>Marco-Ionuț Gălățanu</cp:lastModifiedBy>
  <dcterms:created xsi:type="dcterms:W3CDTF">2025-06-20T16:20:35Z</dcterms:created>
  <dcterms:modified xsi:type="dcterms:W3CDTF">2025-06-24T11:51:56Z</dcterms:modified>
</cp:coreProperties>
</file>